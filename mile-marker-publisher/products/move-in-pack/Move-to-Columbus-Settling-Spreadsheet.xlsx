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. Pre-Move" sheetId="2" state="visible" r:id="rId2"/>
    <sheet name="2. Neighborhood Score" sheetId="3" state="visible" r:id="rId3"/>
    <sheet name="3. Week 1 Setup" sheetId="4" state="visible" r:id="rId4"/>
    <sheet name="4. Month 1 Budget" sheetId="5" state="visible" r:id="rId5"/>
    <sheet name="5. Apartment Compare" sheetId="6" state="visible" r:id="rId6"/>
    <sheet name="6. Day 30 Check-In" sheetId="7" state="visible" r:id="rId7"/>
    <sheet name="7. Local Rolo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b val="1"/>
      <color rgb="001F4D3A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b val="1"/>
    </font>
    <font>
      <b val="1"/>
      <sz val="12"/>
    </font>
    <font>
      <b val="1"/>
      <color rgb="001F4D3A"/>
      <sz val="12"/>
    </font>
    <font>
      <b val="1"/>
      <color rgb="001F4D3A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8F0E4"/>
      </patternFill>
    </fill>
    <fill>
      <patternFill patternType="solid">
        <fgColor rgb="00FFF8E7"/>
      </patternFill>
    </fill>
    <fill>
      <patternFill patternType="solid">
        <fgColor rgb="00D8E2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0" fillId="5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8" fillId="5" borderId="1" pivotButton="0" quotePrefix="0" xfId="0"/>
    <xf numFmtId="0" fontId="9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pivotButton="0" quotePrefix="0" xfId="0"/>
    <xf numFmtId="164" fontId="0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7" fillId="0" borderId="1" pivotButton="0" quotePrefix="0" xfId="0"/>
    <xf numFmtId="1" fontId="0" fillId="4" borderId="1" pivotButton="0" quotePrefix="0" xfId="0"/>
    <xf numFmtId="0" fontId="1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Mile Marker Publisher — Move to Columbus Settling Spreadsheet</t>
        </is>
      </c>
    </row>
    <row r="3">
      <c r="A3" s="2" t="inlineStr">
        <is>
          <t>How to use</t>
        </is>
      </c>
    </row>
    <row r="4" ht="45" customHeight="1">
      <c r="A4" s="3" t="inlineStr">
        <is>
          <t>Work left-to-right through the tabs. Yellow cells are for your inputs. Green totals calculate automatically. Pair this file with the Settling Pack PDF.</t>
        </is>
      </c>
    </row>
    <row r="6">
      <c r="A6" s="4" t="inlineStr">
        <is>
          <t>Tab</t>
        </is>
      </c>
      <c r="B6" s="4" t="inlineStr">
        <is>
          <t>Purpose</t>
        </is>
      </c>
    </row>
    <row r="7">
      <c r="A7" s="5" t="inlineStr">
        <is>
          <t>1. Pre-Move</t>
        </is>
      </c>
      <c r="B7" s="5" t="inlineStr">
        <is>
          <t>Checklist before you arrive / keys</t>
        </is>
      </c>
    </row>
    <row r="8">
      <c r="A8" s="6" t="inlineStr">
        <is>
          <t>2. Neighborhood Score</t>
        </is>
      </c>
      <c r="B8" s="6" t="inlineStr">
        <is>
          <t>Score 1–5 across up to 3 areas; totals auto-sum</t>
        </is>
      </c>
    </row>
    <row r="9">
      <c r="A9" s="5" t="inlineStr">
        <is>
          <t>3. Week 1 Setup</t>
        </is>
      </c>
      <c r="B9" s="5" t="inlineStr">
        <is>
          <t>Utilities, address changes, local finds</t>
        </is>
      </c>
    </row>
    <row r="10">
      <c r="A10" s="6" t="inlineStr">
        <is>
          <t>4. Month 1 Budget</t>
        </is>
      </c>
      <c r="B10" s="6" t="inlineStr">
        <is>
          <t>Planned vs actual spending with auto totals</t>
        </is>
      </c>
    </row>
    <row r="11">
      <c r="A11" s="5" t="inlineStr">
        <is>
          <t>5. Apartment Compare</t>
        </is>
      </c>
      <c r="B11" s="5" t="inlineStr">
        <is>
          <t>Side-by-side lease math (rent + fees + commute)</t>
        </is>
      </c>
    </row>
    <row r="12">
      <c r="A12" s="6" t="inlineStr">
        <is>
          <t>6. Day 30 Check-In</t>
        </is>
      </c>
      <c r="B12" s="6" t="inlineStr">
        <is>
          <t>Confirm you’re settled</t>
        </is>
      </c>
    </row>
    <row r="13">
      <c r="A13" s="5" t="inlineStr">
        <is>
          <t>7. Local Rolodex</t>
        </is>
      </c>
      <c r="B13" s="5" t="inlineStr">
        <is>
          <t>Pharmacies, urgent care, grocery, hardware, etc.</t>
        </is>
      </c>
    </row>
    <row r="15">
      <c r="A15" s="2" t="inlineStr">
        <is>
          <t>Your move details</t>
        </is>
      </c>
    </row>
    <row r="16">
      <c r="A16" s="7" t="inlineStr">
        <is>
          <t>Your name</t>
        </is>
      </c>
      <c r="B16" s="8" t="inlineStr"/>
    </row>
    <row r="17">
      <c r="A17" s="7" t="inlineStr">
        <is>
          <t>Move-in date</t>
        </is>
      </c>
      <c r="B17" s="8" t="inlineStr"/>
    </row>
    <row r="18">
      <c r="A18" s="7" t="inlineStr">
        <is>
          <t>Work / school address</t>
        </is>
      </c>
      <c r="B18" s="8" t="inlineStr"/>
    </row>
    <row r="19">
      <c r="A19" s="7" t="inlineStr">
        <is>
          <t>Target budget (rent+fees)</t>
        </is>
      </c>
      <c r="B19" s="8" t="inlineStr"/>
    </row>
    <row r="20">
      <c r="A20" s="7" t="inlineStr">
        <is>
          <t>Notes</t>
        </is>
      </c>
      <c r="B20" s="8" t="inlineStr"/>
    </row>
    <row r="22">
      <c r="A22" s="9" t="inlineStr">
        <is>
          <t>© Mile Marker Publisher — Personal use. Not affiliated with the City of Columbus.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35" customWidth="1" min="3" max="3"/>
  </cols>
  <sheetData>
    <row r="1">
      <c r="A1" s="1" t="inlineStr">
        <is>
          <t>Pre-move checklist (2–4 weeks out)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Notes / links</t>
        </is>
      </c>
    </row>
    <row r="4" ht="28" customHeight="1">
      <c r="A4" s="10" t="inlineStr">
        <is>
          <t>☐</t>
        </is>
      </c>
      <c r="B4" s="11" t="inlineStr">
        <is>
          <t>Confirm lease/start date and utility transfer windows</t>
        </is>
      </c>
      <c r="C4" s="8" t="inlineStr"/>
    </row>
    <row r="5" ht="28" customHeight="1">
      <c r="A5" s="10" t="inlineStr">
        <is>
          <t>☐</t>
        </is>
      </c>
      <c r="B5" s="11" t="inlineStr">
        <is>
          <t>Photo-document empty place condition on move-in day</t>
        </is>
      </c>
      <c r="C5" s="8" t="inlineStr"/>
    </row>
    <row r="6" ht="28" customHeight="1">
      <c r="A6" s="10" t="inlineStr">
        <is>
          <t>☐</t>
        </is>
      </c>
      <c r="B6" s="11" t="inlineStr">
        <is>
          <t>Set mail forwarding</t>
        </is>
      </c>
      <c r="C6" s="8" t="inlineStr"/>
    </row>
    <row r="7" ht="28" customHeight="1">
      <c r="A7" s="10" t="inlineStr">
        <is>
          <t>☐</t>
        </is>
      </c>
      <c r="B7" s="11" t="inlineStr">
        <is>
          <t>Get quotes: movers vs truck+friends</t>
        </is>
      </c>
      <c r="C7" s="8" t="inlineStr"/>
    </row>
    <row r="8" ht="28" customHeight="1">
      <c r="A8" s="10" t="inlineStr">
        <is>
          <t>☐</t>
        </is>
      </c>
      <c r="B8" s="11" t="inlineStr">
        <is>
          <t>Measure elevator / stair constraints</t>
        </is>
      </c>
      <c r="C8" s="8" t="inlineStr"/>
    </row>
    <row r="9" ht="28" customHeight="1">
      <c r="A9" s="10" t="inlineStr">
        <is>
          <t>☐</t>
        </is>
      </c>
      <c r="B9" s="11" t="inlineStr">
        <is>
          <t>Plan first-night kit (sheets, towels, TP, charger, meds, snacks)</t>
        </is>
      </c>
      <c r="C9" s="8" t="inlineStr"/>
    </row>
    <row r="10" ht="28" customHeight="1">
      <c r="A10" s="10" t="inlineStr">
        <is>
          <t>☐</t>
        </is>
      </c>
      <c r="B10" s="11" t="inlineStr">
        <is>
          <t>Download ParkColumbus (if needed), COTA, weather, offline maps</t>
        </is>
      </c>
      <c r="C10" s="8" t="inlineStr"/>
    </row>
    <row r="11" ht="28" customHeight="1">
      <c r="A11" s="10" t="inlineStr">
        <is>
          <t>☐</t>
        </is>
      </c>
      <c r="B11" s="11" t="inlineStr">
        <is>
          <t>Confirm renter's insurance start date</t>
        </is>
      </c>
      <c r="C11" s="8" t="inlineStr"/>
    </row>
    <row r="12" ht="28" customHeight="1">
      <c r="A12" s="10" t="inlineStr">
        <is>
          <t>☐</t>
        </is>
      </c>
      <c r="B12" s="11" t="inlineStr">
        <is>
          <t>Schedule internet install or hotspot backup</t>
        </is>
      </c>
      <c r="C12" s="8" t="inlineStr"/>
    </row>
    <row r="13" ht="28" customHeight="1">
      <c r="A13" s="10" t="inlineStr">
        <is>
          <t>☐</t>
        </is>
      </c>
      <c r="B13" s="11" t="inlineStr">
        <is>
          <t>Share new address with family / emergency contact</t>
        </is>
      </c>
      <c r="C13" s="8" t="inlineStr"/>
    </row>
    <row r="15">
      <c r="A15" s="2" t="inlineStr">
        <is>
          <t>Progress</t>
        </is>
      </c>
    </row>
    <row r="16">
      <c r="A16" t="inlineStr">
        <is>
          <t>Tasks done</t>
        </is>
      </c>
      <c r="B16" s="12">
        <f>COUNTIF(A4:A13,"☑")</f>
        <v/>
      </c>
    </row>
    <row r="17">
      <c r="A17" t="inlineStr">
        <is>
          <t>Tasks remaining</t>
        </is>
      </c>
      <c r="B17" s="12">
        <f>COUNTA(A4:A13)-B16</f>
        <v/>
      </c>
    </row>
  </sheetData>
  <mergeCells count="1">
    <mergeCell ref="A1:C1"/>
  </mergeCells>
  <dataValidations count="1">
    <dataValidation sqref="A4 A5 A6 A7 A8 A9 A10 A11 A12 A1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Neighborhood fit scorecard (score each factor 1–5)</t>
        </is>
      </c>
    </row>
    <row r="2">
      <c r="A2" s="9" t="inlineStr">
        <is>
          <t>Common areas: Short North · German Village · Clintonville · Grandview · Reynoldsburg · Dublin · New Albany · Westerville · Grove City</t>
        </is>
      </c>
    </row>
    <row r="4">
      <c r="A4" s="4" t="inlineStr">
        <is>
          <t>Factor</t>
        </is>
      </c>
      <c r="B4" s="4" t="inlineStr">
        <is>
          <t>Area A name →</t>
        </is>
      </c>
      <c r="C4" s="4" t="inlineStr">
        <is>
          <t>Area B name →</t>
        </is>
      </c>
      <c r="D4" s="4" t="inlineStr">
        <is>
          <t>Area C name →</t>
        </is>
      </c>
      <c r="E4" s="4" t="inlineStr">
        <is>
          <t>Why it matters</t>
        </is>
      </c>
    </row>
    <row r="5">
      <c r="A5" s="13" t="inlineStr">
        <is>
          <t>Neighborhood name</t>
        </is>
      </c>
      <c r="B5" s="8" t="inlineStr"/>
      <c r="C5" s="8" t="inlineStr"/>
      <c r="D5" s="8" t="inlineStr"/>
      <c r="E5" s="9" t="inlineStr">
        <is>
          <t>Type the area names above</t>
        </is>
      </c>
    </row>
    <row r="6">
      <c r="A6" s="14" t="inlineStr">
        <is>
          <t>Commute to work / school</t>
        </is>
      </c>
      <c r="B6" s="10" t="inlineStr"/>
      <c r="C6" s="10" t="inlineStr"/>
      <c r="D6" s="10" t="inlineStr"/>
      <c r="E6" s="15" t="inlineStr">
        <is>
          <t>Daily time &amp; stress</t>
        </is>
      </c>
    </row>
    <row r="7">
      <c r="A7" s="14" t="inlineStr">
        <is>
          <t>Groceries walk/drive</t>
        </is>
      </c>
      <c r="B7" s="10" t="inlineStr"/>
      <c r="C7" s="10" t="inlineStr"/>
      <c r="D7" s="10" t="inlineStr"/>
      <c r="E7" s="15" t="inlineStr">
        <is>
          <t>Errand friction</t>
        </is>
      </c>
    </row>
    <row r="8">
      <c r="A8" s="14" t="inlineStr">
        <is>
          <t>Noise tolerance fit</t>
        </is>
      </c>
      <c r="B8" s="10" t="inlineStr"/>
      <c r="C8" s="10" t="inlineStr"/>
      <c r="D8" s="10" t="inlineStr"/>
      <c r="E8" s="15" t="inlineStr">
        <is>
          <t>Sleep &amp; WFH</t>
        </is>
      </c>
    </row>
    <row r="9">
      <c r="A9" s="14" t="inlineStr">
        <is>
          <t>Parking reality</t>
        </is>
      </c>
      <c r="B9" s="10" t="inlineStr"/>
      <c r="C9" s="10" t="inlineStr"/>
      <c r="D9" s="10" t="inlineStr"/>
      <c r="E9" s="15" t="inlineStr">
        <is>
          <t>Cost + hassle</t>
        </is>
      </c>
    </row>
    <row r="10">
      <c r="A10" s="14" t="inlineStr">
        <is>
          <t>Weekend stuff nearby</t>
        </is>
      </c>
      <c r="B10" s="10" t="inlineStr"/>
      <c r="C10" s="10" t="inlineStr"/>
      <c r="D10" s="10" t="inlineStr"/>
      <c r="E10" s="15" t="inlineStr">
        <is>
          <t>Life outside work</t>
        </is>
      </c>
    </row>
    <row r="11">
      <c r="A11" s="14" t="inlineStr">
        <is>
          <t>Budget fit (rent+fees)</t>
        </is>
      </c>
      <c r="B11" s="10" t="inlineStr"/>
      <c r="C11" s="10" t="inlineStr"/>
      <c r="D11" s="10" t="inlineStr"/>
      <c r="E11" s="15" t="inlineStr">
        <is>
          <t>Can you sustain it?</t>
        </is>
      </c>
    </row>
    <row r="12">
      <c r="A12" s="14" t="inlineStr">
        <is>
          <t>Safety feel (day/night)</t>
        </is>
      </c>
      <c r="B12" s="10" t="inlineStr"/>
      <c r="C12" s="10" t="inlineStr"/>
      <c r="D12" s="10" t="inlineStr"/>
      <c r="E12" s="15" t="inlineStr">
        <is>
          <t>Your comfort after dark</t>
        </is>
      </c>
    </row>
    <row r="13">
      <c r="A13" s="14" t="inlineStr">
        <is>
          <t>Green space / parks</t>
        </is>
      </c>
      <c r="B13" s="10" t="inlineStr"/>
      <c r="C13" s="10" t="inlineStr"/>
      <c r="D13" s="10" t="inlineStr"/>
      <c r="E13" s="15" t="inlineStr">
        <is>
          <t>Walks &amp; mental reset</t>
        </is>
      </c>
    </row>
    <row r="14">
      <c r="A14" s="16" t="inlineStr">
        <is>
          <t>TOTAL</t>
        </is>
      </c>
      <c r="B14" s="16">
        <f>SUM(B6:B13)</f>
        <v/>
      </c>
      <c r="C14" s="16">
        <f>SUM(C6:C13)</f>
        <v/>
      </c>
      <c r="D14" s="16">
        <f>SUM(D6:D13)</f>
        <v/>
      </c>
      <c r="E14" s="9" t="inlineStr">
        <is>
          <t>Higher = better fit (max 40)</t>
        </is>
      </c>
    </row>
    <row r="16">
      <c r="A16" t="inlineStr">
        <is>
          <t>Winner (highest total)</t>
        </is>
      </c>
      <c r="B16" s="17">
        <f>IF(COUNTA(B14:D14)=0,"",INDEX(B5:D5,1,MATCH(MAX(B14:D14),B14:D14,0)))</f>
        <v/>
      </c>
    </row>
    <row r="18">
      <c r="A18" s="2" t="inlineStr">
        <is>
          <t>Notes / deal-breakers</t>
        </is>
      </c>
    </row>
    <row r="19">
      <c r="A19" s="18" t="inlineStr"/>
    </row>
    <row r="20"/>
    <row r="21"/>
  </sheetData>
  <mergeCells count="3">
    <mergeCell ref="A2:E2"/>
    <mergeCell ref="A1:E1"/>
    <mergeCell ref="A19:E21"/>
  </mergeCells>
  <dataValidations count="1">
    <dataValidation sqref="B6:D13" showDropDown="0" showInputMessage="0" showErrorMessage="0" allowBlank="1" errorTitle="Score" error="Enter 1 through 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Week 1 setup tracker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Owner</t>
        </is>
      </c>
      <c r="D3" s="4" t="inlineStr">
        <is>
          <t>Due date</t>
        </is>
      </c>
      <c r="E3" s="4" t="inlineStr">
        <is>
          <t>Confirmation # / notes</t>
        </is>
      </c>
    </row>
    <row r="4" ht="26" customHeight="1">
      <c r="A4" s="10" t="inlineStr">
        <is>
          <t>☐</t>
        </is>
      </c>
      <c r="B4" s="19" t="inlineStr">
        <is>
          <t>Electric / gas / water / trash accounted for</t>
        </is>
      </c>
      <c r="C4" s="20" t="inlineStr"/>
      <c r="D4" s="20" t="inlineStr"/>
      <c r="E4" s="20" t="inlineStr"/>
    </row>
    <row r="5" ht="26" customHeight="1">
      <c r="A5" s="10" t="inlineStr">
        <is>
          <t>☐</t>
        </is>
      </c>
      <c r="B5" s="19" t="inlineStr">
        <is>
          <t>Internet installed or hotspot backup</t>
        </is>
      </c>
      <c r="C5" s="20" t="inlineStr"/>
      <c r="D5" s="20" t="inlineStr"/>
      <c r="E5" s="20" t="inlineStr"/>
    </row>
    <row r="6" ht="26" customHeight="1">
      <c r="A6" s="10" t="inlineStr">
        <is>
          <t>☐</t>
        </is>
      </c>
      <c r="B6" s="19" t="inlineStr">
        <is>
          <t>Renter's insurance binder saved offline</t>
        </is>
      </c>
      <c r="C6" s="20" t="inlineStr"/>
      <c r="D6" s="20" t="inlineStr"/>
      <c r="E6" s="20" t="inlineStr"/>
    </row>
    <row r="7" ht="26" customHeight="1">
      <c r="A7" s="10" t="inlineStr">
        <is>
          <t>☐</t>
        </is>
      </c>
      <c r="B7" s="19" t="inlineStr">
        <is>
          <t>Change address: bank, insurance, employer HR, subscriptions</t>
        </is>
      </c>
      <c r="C7" s="20" t="inlineStr"/>
      <c r="D7" s="20" t="inlineStr"/>
      <c r="E7" s="20" t="inlineStr"/>
    </row>
    <row r="8" ht="26" customHeight="1">
      <c r="A8" s="10" t="inlineStr">
        <is>
          <t>☐</t>
        </is>
      </c>
      <c r="B8" s="19" t="inlineStr">
        <is>
          <t>Ohio DL / ID update plan (if out of state)</t>
        </is>
      </c>
      <c r="C8" s="20" t="inlineStr"/>
      <c r="D8" s="20" t="inlineStr"/>
      <c r="E8" s="20" t="inlineStr"/>
    </row>
    <row r="9" ht="26" customHeight="1">
      <c r="A9" s="10" t="inlineStr">
        <is>
          <t>☐</t>
        </is>
      </c>
      <c r="B9" s="19" t="inlineStr">
        <is>
          <t>Vehicle registration / street parking permit research</t>
        </is>
      </c>
      <c r="C9" s="20" t="inlineStr"/>
      <c r="D9" s="20" t="inlineStr"/>
      <c r="E9" s="20" t="inlineStr"/>
    </row>
    <row r="10" ht="26" customHeight="1">
      <c r="A10" s="10" t="inlineStr">
        <is>
          <t>☐</t>
        </is>
      </c>
      <c r="B10" s="19" t="inlineStr">
        <is>
          <t>Find pharmacy</t>
        </is>
      </c>
      <c r="C10" s="20" t="inlineStr"/>
      <c r="D10" s="20" t="inlineStr"/>
      <c r="E10" s="20" t="inlineStr"/>
    </row>
    <row r="11" ht="26" customHeight="1">
      <c r="A11" s="10" t="inlineStr">
        <is>
          <t>☐</t>
        </is>
      </c>
      <c r="B11" s="19" t="inlineStr">
        <is>
          <t>Find urgent care</t>
        </is>
      </c>
      <c r="C11" s="20" t="inlineStr"/>
      <c r="D11" s="20" t="inlineStr"/>
      <c r="E11" s="20" t="inlineStr"/>
    </row>
    <row r="12" ht="26" customHeight="1">
      <c r="A12" s="10" t="inlineStr">
        <is>
          <t>☐</t>
        </is>
      </c>
      <c r="B12" s="19" t="inlineStr">
        <is>
          <t>Find grocery</t>
        </is>
      </c>
      <c r="C12" s="20" t="inlineStr"/>
      <c r="D12" s="20" t="inlineStr"/>
      <c r="E12" s="20" t="inlineStr"/>
    </row>
    <row r="13" ht="26" customHeight="1">
      <c r="A13" s="10" t="inlineStr">
        <is>
          <t>☐</t>
        </is>
      </c>
      <c r="B13" s="19" t="inlineStr">
        <is>
          <t>Find hardware store</t>
        </is>
      </c>
      <c r="C13" s="20" t="inlineStr"/>
      <c r="D13" s="20" t="inlineStr"/>
      <c r="E13" s="20" t="inlineStr"/>
    </row>
    <row r="14" ht="26" customHeight="1">
      <c r="A14" s="10" t="inlineStr">
        <is>
          <t>☐</t>
        </is>
      </c>
      <c r="B14" s="19" t="inlineStr">
        <is>
          <t>Test smoke/CO detectors; buy batteries if needed</t>
        </is>
      </c>
      <c r="C14" s="20" t="inlineStr"/>
      <c r="D14" s="20" t="inlineStr"/>
      <c r="E14" s="20" t="inlineStr"/>
    </row>
    <row r="15" ht="26" customHeight="1">
      <c r="A15" s="10" t="inlineStr">
        <is>
          <t>☐</t>
        </is>
      </c>
      <c r="B15" s="19" t="inlineStr">
        <is>
          <t>Meet one neighbor or building manager on purpose</t>
        </is>
      </c>
      <c r="C15" s="20" t="inlineStr"/>
      <c r="D15" s="20" t="inlineStr"/>
      <c r="E15" s="20" t="inlineStr"/>
    </row>
    <row r="16" ht="26" customHeight="1">
      <c r="A16" s="10" t="inlineStr">
        <is>
          <t>☐</t>
        </is>
      </c>
      <c r="B16" s="19" t="inlineStr">
        <is>
          <t>Confirm city income tax withholding with payroll (Columbus 2.5%)</t>
        </is>
      </c>
      <c r="C16" s="20" t="inlineStr"/>
      <c r="D16" s="20" t="inlineStr"/>
      <c r="E16" s="20" t="inlineStr"/>
    </row>
    <row r="18">
      <c r="A18" t="inlineStr">
        <is>
          <t>Done</t>
        </is>
      </c>
      <c r="B18" s="12">
        <f>COUNTIF(A4:A16,"☑")&amp;" / "&amp;COUNTA(A4:A16)</f>
        <v/>
      </c>
    </row>
  </sheetData>
  <dataValidations count="1">
    <dataValidation sqref="A4 A5 A6 A7 A8 A9 A10 A11 A12 A13 A14 A15 A1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First-month budget — planned vs actual</t>
        </is>
      </c>
    </row>
    <row r="2">
      <c r="A2" s="9" t="inlineStr">
        <is>
          <t>Yellow = type your numbers. Totals and variance calculate automatically.</t>
        </is>
      </c>
    </row>
    <row r="4">
      <c r="A4" s="4" t="inlineStr">
        <is>
          <t>Category</t>
        </is>
      </c>
      <c r="B4" s="4" t="inlineStr">
        <is>
          <t>Planned $</t>
        </is>
      </c>
      <c r="C4" s="4" t="inlineStr">
        <is>
          <t>Actual $</t>
        </is>
      </c>
      <c r="D4" s="4" t="inlineStr">
        <is>
          <t>Variance $</t>
        </is>
      </c>
      <c r="E4" s="4" t="inlineStr">
        <is>
          <t>Notes</t>
        </is>
      </c>
    </row>
    <row r="5">
      <c r="A5" s="14" t="inlineStr">
        <is>
          <t>Rent + fees</t>
        </is>
      </c>
      <c r="B5" s="21" t="inlineStr"/>
      <c r="C5" s="21" t="inlineStr"/>
      <c r="D5" s="22">
        <f>IF(OR(B5="",C5=""),"",C5-B5)</f>
        <v/>
      </c>
      <c r="E5" s="8" t="inlineStr"/>
    </row>
    <row r="6">
      <c r="A6" s="14" t="inlineStr">
        <is>
          <t>Utilities (electric/gas/water/trash)</t>
        </is>
      </c>
      <c r="B6" s="21" t="inlineStr"/>
      <c r="C6" s="21" t="inlineStr"/>
      <c r="D6" s="22">
        <f>IF(OR(B6="",C6=""),"",C6-B6)</f>
        <v/>
      </c>
      <c r="E6" s="8" t="inlineStr"/>
    </row>
    <row r="7">
      <c r="A7" s="14" t="inlineStr">
        <is>
          <t>Internet</t>
        </is>
      </c>
      <c r="B7" s="21" t="inlineStr"/>
      <c r="C7" s="21" t="inlineStr"/>
      <c r="D7" s="22">
        <f>IF(OR(B7="",C7=""),"",C7-B7)</f>
        <v/>
      </c>
      <c r="E7" s="8" t="inlineStr"/>
    </row>
    <row r="8">
      <c r="A8" s="14" t="inlineStr">
        <is>
          <t>Groceries</t>
        </is>
      </c>
      <c r="B8" s="21" t="inlineStr"/>
      <c r="C8" s="21" t="inlineStr"/>
      <c r="D8" s="22">
        <f>IF(OR(B8="",C8=""),"",C8-B8)</f>
        <v/>
      </c>
      <c r="E8" s="8" t="inlineStr"/>
    </row>
    <row r="9">
      <c r="A9" s="14" t="inlineStr">
        <is>
          <t>Transport / gas / rideshare</t>
        </is>
      </c>
      <c r="B9" s="21" t="inlineStr"/>
      <c r="C9" s="21" t="inlineStr"/>
      <c r="D9" s="22">
        <f>IF(OR(B9="",C9=""),"",C9-B9)</f>
        <v/>
      </c>
      <c r="E9" s="8" t="inlineStr"/>
    </row>
    <row r="10">
      <c r="A10" s="14" t="inlineStr">
        <is>
          <t>Household setup buys</t>
        </is>
      </c>
      <c r="B10" s="21" t="inlineStr"/>
      <c r="C10" s="21" t="inlineStr"/>
      <c r="D10" s="22">
        <f>IF(OR(B10="",C10=""),"",C10-B10)</f>
        <v/>
      </c>
      <c r="E10" s="8" t="inlineStr"/>
    </row>
    <row r="11">
      <c r="A11" s="14" t="inlineStr">
        <is>
          <t>Eating out</t>
        </is>
      </c>
      <c r="B11" s="21" t="inlineStr"/>
      <c r="C11" s="21" t="inlineStr"/>
      <c r="D11" s="22">
        <f>IF(OR(B11="",C11=""),"",C11-B11)</f>
        <v/>
      </c>
      <c r="E11" s="8" t="inlineStr"/>
    </row>
    <row r="12">
      <c r="A12" s="14" t="inlineStr">
        <is>
          <t>Renter's insurance</t>
        </is>
      </c>
      <c r="B12" s="21" t="inlineStr"/>
      <c r="C12" s="21" t="inlineStr"/>
      <c r="D12" s="22">
        <f>IF(OR(B12="",C12=""),"",C12-B12)</f>
        <v/>
      </c>
      <c r="E12" s="8" t="inlineStr"/>
    </row>
    <row r="13">
      <c r="A13" s="14" t="inlineStr">
        <is>
          <t>Parking / permits</t>
        </is>
      </c>
      <c r="B13" s="21" t="inlineStr"/>
      <c r="C13" s="21" t="inlineStr"/>
      <c r="D13" s="22">
        <f>IF(OR(B13="",C13=""),"",C13-B13)</f>
        <v/>
      </c>
      <c r="E13" s="8" t="inlineStr"/>
    </row>
    <row r="14">
      <c r="A14" s="14" t="inlineStr">
        <is>
          <t>Misc buffer</t>
        </is>
      </c>
      <c r="B14" s="21" t="inlineStr"/>
      <c r="C14" s="21" t="inlineStr"/>
      <c r="D14" s="22">
        <f>IF(OR(B14="",C14=""),"",C14-B14)</f>
        <v/>
      </c>
      <c r="E14" s="8" t="inlineStr"/>
    </row>
    <row r="15">
      <c r="A15" s="23" t="inlineStr">
        <is>
          <t>TOTAL</t>
        </is>
      </c>
      <c r="B15" s="24">
        <f>SUM(B5:B14)</f>
        <v/>
      </c>
      <c r="C15" s="24">
        <f>SUM(C5:C14)</f>
        <v/>
      </c>
      <c r="D15" s="24">
        <f>IF(OR(B15="",C15=""),"",C15-B15)</f>
        <v/>
      </c>
    </row>
    <row r="17">
      <c r="A17" t="inlineStr">
        <is>
          <t>Over budget?</t>
        </is>
      </c>
      <c r="B17" s="12">
        <f>IF(D15="","",IF(D15&gt;0,"Yes — trim misc / eating out","On track or under"))</f>
        <v/>
      </c>
    </row>
    <row r="19">
      <c r="A19" s="9" t="inlineStr">
        <is>
          <t>Rule of thumb: month one setup buys overrun — protect the Misc buffer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Apartment / lease comparison</t>
        </is>
      </c>
    </row>
    <row r="2">
      <c r="A2" s="9" t="inlineStr">
        <is>
          <t>Fill up to 3 options. True monthly cost includes fees + estimated commute.</t>
        </is>
      </c>
    </row>
    <row r="4">
      <c r="A4" s="4" t="inlineStr">
        <is>
          <t>Field</t>
        </is>
      </c>
      <c r="B4" s="4" t="inlineStr">
        <is>
          <t>Option A</t>
        </is>
      </c>
      <c r="C4" s="4" t="inlineStr">
        <is>
          <t>Option B</t>
        </is>
      </c>
      <c r="D4" s="4" t="inlineStr">
        <is>
          <t>Option C</t>
        </is>
      </c>
    </row>
    <row r="5">
      <c r="A5" s="25" t="inlineStr">
        <is>
          <t>Name / address</t>
        </is>
      </c>
      <c r="B5" s="8" t="inlineStr"/>
      <c r="C5" s="8" t="inlineStr"/>
      <c r="D5" s="8" t="inlineStr"/>
    </row>
    <row r="6">
      <c r="A6" s="25" t="inlineStr">
        <is>
          <t>Neighborhood</t>
        </is>
      </c>
      <c r="B6" s="8" t="inlineStr"/>
      <c r="C6" s="8" t="inlineStr"/>
      <c r="D6" s="8" t="inlineStr"/>
    </row>
    <row r="7">
      <c r="A7" s="25" t="inlineStr">
        <is>
          <t>Bed / bath</t>
        </is>
      </c>
      <c r="B7" s="8" t="inlineStr"/>
      <c r="C7" s="8" t="inlineStr"/>
      <c r="D7" s="8" t="inlineStr"/>
    </row>
    <row r="8">
      <c r="A8" s="25" t="inlineStr">
        <is>
          <t>Base rent</t>
        </is>
      </c>
      <c r="B8" s="21" t="inlineStr"/>
      <c r="C8" s="21" t="inlineStr"/>
      <c r="D8" s="21" t="inlineStr"/>
    </row>
    <row r="9">
      <c r="A9" s="25" t="inlineStr">
        <is>
          <t>Monthly fees (parking, pet, trash, amenity)</t>
        </is>
      </c>
      <c r="B9" s="21" t="inlineStr"/>
      <c r="C9" s="21" t="inlineStr"/>
      <c r="D9" s="21" t="inlineStr"/>
    </row>
    <row r="10">
      <c r="A10" s="25" t="inlineStr">
        <is>
          <t>Utilities you pay (est.)</t>
        </is>
      </c>
      <c r="B10" s="21" t="inlineStr"/>
      <c r="C10" s="21" t="inlineStr"/>
      <c r="D10" s="21" t="inlineStr"/>
    </row>
    <row r="11">
      <c r="A11" s="25" t="inlineStr">
        <is>
          <t>Deposit / move-in cash due</t>
        </is>
      </c>
      <c r="B11" s="21" t="inlineStr"/>
      <c r="C11" s="21" t="inlineStr"/>
      <c r="D11" s="21" t="inlineStr"/>
    </row>
    <row r="12">
      <c r="A12" s="25" t="inlineStr">
        <is>
          <t>Lease length (months)</t>
        </is>
      </c>
      <c r="B12" s="8" t="inlineStr"/>
      <c r="C12" s="8" t="inlineStr"/>
      <c r="D12" s="8" t="inlineStr"/>
    </row>
    <row r="13">
      <c r="A13" s="25" t="inlineStr">
        <is>
          <t>Commute minutes (one way)</t>
        </is>
      </c>
      <c r="B13" s="26" t="inlineStr"/>
      <c r="C13" s="26" t="inlineStr"/>
      <c r="D13" s="26" t="inlineStr"/>
    </row>
    <row r="14">
      <c r="A14" s="25" t="inlineStr">
        <is>
          <t>Commute cost / month (gas or rideshare est.)</t>
        </is>
      </c>
      <c r="B14" s="21" t="inlineStr"/>
      <c r="C14" s="21" t="inlineStr"/>
      <c r="D14" s="21" t="inlineStr"/>
    </row>
    <row r="15">
      <c r="A15" s="25" t="inlineStr">
        <is>
          <t>In-unit laundry? (Y/N)</t>
        </is>
      </c>
      <c r="B15" s="8" t="inlineStr"/>
      <c r="C15" s="8" t="inlineStr"/>
      <c r="D15" s="8" t="inlineStr"/>
    </row>
    <row r="16">
      <c r="A16" s="25" t="inlineStr">
        <is>
          <t>Notes</t>
        </is>
      </c>
      <c r="B16" s="8" t="inlineStr"/>
      <c r="C16" s="8" t="inlineStr"/>
      <c r="D16" s="8" t="inlineStr"/>
    </row>
    <row r="17">
      <c r="A17" s="23" t="inlineStr">
        <is>
          <t>True monthly cost</t>
        </is>
      </c>
      <c r="B17" s="24">
        <f>SUM(B8:B10,B14)</f>
        <v/>
      </c>
      <c r="C17" s="24">
        <f>SUM(C8:C10,C14)</f>
        <v/>
      </c>
      <c r="D17" s="24">
        <f>SUM(D8:D10,D14)</f>
        <v/>
      </c>
    </row>
    <row r="18">
      <c r="A18" t="inlineStr">
        <is>
          <t>Lowest true monthly</t>
        </is>
      </c>
      <c r="B18" s="27">
        <f>IF(COUNTA(B17:D17)=0,"",INDEX(B5:D5,1,MATCH(MIN(B17:D17),B17:D17,0)))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</cols>
  <sheetData>
    <row r="1">
      <c r="A1" s="1" t="inlineStr">
        <is>
          <t>Day 30 check-in</t>
        </is>
      </c>
    </row>
    <row r="3">
      <c r="A3" s="4" t="inlineStr">
        <is>
          <t>Done?</t>
        </is>
      </c>
      <c r="B3" s="4" t="inlineStr">
        <is>
          <t>Checkpoint</t>
        </is>
      </c>
      <c r="C3" s="4" t="inlineStr">
        <is>
          <t>Notes</t>
        </is>
      </c>
    </row>
    <row r="4">
      <c r="A4" s="10" t="inlineStr">
        <is>
          <t>☐</t>
        </is>
      </c>
      <c r="B4" s="14" t="inlineStr">
        <is>
          <t>Emergency contacts on fridge / phone favorites</t>
        </is>
      </c>
      <c r="C4" s="8" t="inlineStr"/>
    </row>
    <row r="5">
      <c r="A5" s="10" t="inlineStr">
        <is>
          <t>☐</t>
        </is>
      </c>
      <c r="B5" s="14" t="inlineStr">
        <is>
          <t>Primary care / dentist search started</t>
        </is>
      </c>
      <c r="C5" s="8" t="inlineStr"/>
    </row>
    <row r="6">
      <c r="A6" s="10" t="inlineStr">
        <is>
          <t>☐</t>
        </is>
      </c>
      <c r="B6" s="14" t="inlineStr">
        <is>
          <t>One regular coffee or grocery routine established</t>
        </is>
      </c>
      <c r="C6" s="8" t="inlineStr"/>
    </row>
    <row r="7">
      <c r="A7" s="10" t="inlineStr">
        <is>
          <t>☐</t>
        </is>
      </c>
      <c r="B7" s="14" t="inlineStr">
        <is>
          <t>Know street overnight parking / snow rules</t>
        </is>
      </c>
      <c r="C7" s="8" t="inlineStr"/>
    </row>
    <row r="8">
      <c r="A8" s="10" t="inlineStr">
        <is>
          <t>☐</t>
        </is>
      </c>
      <c r="B8" s="14" t="inlineStr">
        <is>
          <t>Severe weather plan (basement / interior room)</t>
        </is>
      </c>
      <c r="C8" s="8" t="inlineStr"/>
    </row>
    <row r="9">
      <c r="A9" s="10" t="inlineStr">
        <is>
          <t>☐</t>
        </is>
      </c>
      <c r="B9" s="14" t="inlineStr">
        <is>
          <t>One recurring local activity on calendar</t>
        </is>
      </c>
      <c r="C9" s="8" t="inlineStr"/>
    </row>
    <row r="10">
      <c r="A10" s="10" t="inlineStr">
        <is>
          <t>☐</t>
        </is>
      </c>
      <c r="B10" s="14" t="inlineStr">
        <is>
          <t>Know where you buy food</t>
        </is>
      </c>
      <c r="C10" s="8" t="inlineStr"/>
    </row>
    <row r="11">
      <c r="A11" s="10" t="inlineStr">
        <is>
          <t>☐</t>
        </is>
      </c>
      <c r="B11" s="14" t="inlineStr">
        <is>
          <t>Know how you get to work</t>
        </is>
      </c>
      <c r="C11" s="8" t="inlineStr"/>
    </row>
    <row r="12">
      <c r="A12" s="10" t="inlineStr">
        <is>
          <t>☐</t>
        </is>
      </c>
      <c r="B12" s="14" t="inlineStr">
        <is>
          <t>Know who you'd text locally if something breaks</t>
        </is>
      </c>
      <c r="C12" s="8" t="inlineStr"/>
    </row>
    <row r="14">
      <c r="A14" t="inlineStr">
        <is>
          <t>Settled score</t>
        </is>
      </c>
      <c r="B14" s="12">
        <f>COUNTIF(A4:A12,"☑")&amp;" / 9"</f>
        <v/>
      </c>
    </row>
    <row r="16">
      <c r="A16" t="inlineStr">
        <is>
          <t>One thing I'd change next time</t>
        </is>
      </c>
    </row>
    <row r="17">
      <c r="A17" s="28" t="n"/>
    </row>
    <row r="18"/>
  </sheetData>
  <mergeCells count="1">
    <mergeCell ref="A17:C18"/>
  </mergeCells>
  <dataValidations count="1">
    <dataValidation sqref="A4 A5 A6 A7 A8 A9 A10 A11 A12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Local rolodex — fill as you discover places</t>
        </is>
      </c>
    </row>
    <row r="3">
      <c r="A3" s="4" t="inlineStr">
        <is>
          <t>Type</t>
        </is>
      </c>
      <c r="B3" s="4" t="inlineStr">
        <is>
          <t>Name</t>
        </is>
      </c>
      <c r="C3" s="4" t="inlineStr">
        <is>
          <t>Address / link</t>
        </is>
      </c>
      <c r="D3" s="4" t="inlineStr">
        <is>
          <t>Phone</t>
        </is>
      </c>
      <c r="E3" s="4" t="inlineStr">
        <is>
          <t>Hours notes</t>
        </is>
      </c>
      <c r="F3" s="4" t="inlineStr">
        <is>
          <t>Keep?</t>
        </is>
      </c>
    </row>
    <row r="4">
      <c r="A4" s="8" t="inlineStr">
        <is>
          <t>Pharmacy</t>
        </is>
      </c>
      <c r="B4" s="8" t="inlineStr"/>
      <c r="C4" s="8" t="inlineStr"/>
      <c r="D4" s="8" t="inlineStr"/>
      <c r="E4" s="8" t="inlineStr"/>
      <c r="F4" s="8" t="inlineStr"/>
    </row>
    <row r="5">
      <c r="A5" s="8" t="inlineStr">
        <is>
          <t>Urgent care</t>
        </is>
      </c>
      <c r="B5" s="8" t="inlineStr"/>
      <c r="C5" s="8" t="inlineStr"/>
      <c r="D5" s="8" t="inlineStr"/>
      <c r="E5" s="8" t="inlineStr"/>
      <c r="F5" s="8" t="inlineStr"/>
    </row>
    <row r="6">
      <c r="A6" s="8" t="inlineStr">
        <is>
          <t>Grocery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Hardware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>
        <is>
          <t>Primary care</t>
        </is>
      </c>
      <c r="B8" s="8" t="inlineStr"/>
      <c r="C8" s="8" t="inlineStr"/>
      <c r="D8" s="8" t="inlineStr"/>
      <c r="E8" s="8" t="inlineStr"/>
      <c r="F8" s="8" t="inlineStr"/>
    </row>
    <row r="9">
      <c r="A9" s="8" t="inlineStr">
        <is>
          <t>Dentist</t>
        </is>
      </c>
      <c r="B9" s="8" t="inlineStr"/>
      <c r="C9" s="8" t="inlineStr"/>
      <c r="D9" s="8" t="inlineStr"/>
      <c r="E9" s="8" t="inlineStr"/>
      <c r="F9" s="8" t="inlineStr"/>
    </row>
    <row r="10">
      <c r="A10" s="8" t="inlineStr">
        <is>
          <t>Vet (if pets)</t>
        </is>
      </c>
      <c r="B10" s="8" t="inlineStr"/>
      <c r="C10" s="8" t="inlineStr"/>
      <c r="D10" s="8" t="inlineStr"/>
      <c r="E10" s="8" t="inlineStr"/>
      <c r="F10" s="8" t="inlineStr"/>
    </row>
    <row r="11">
      <c r="A11" s="8" t="inlineStr">
        <is>
          <t>Auto shop</t>
        </is>
      </c>
      <c r="B11" s="8" t="inlineStr"/>
      <c r="C11" s="8" t="inlineStr"/>
      <c r="D11" s="8" t="inlineStr"/>
      <c r="E11" s="8" t="inlineStr"/>
      <c r="F11" s="8" t="inlineStr"/>
    </row>
    <row r="12">
      <c r="A12" s="8" t="inlineStr">
        <is>
          <t>COTA stop / parking</t>
        </is>
      </c>
      <c r="B12" s="8" t="inlineStr"/>
      <c r="C12" s="8" t="inlineStr"/>
      <c r="D12" s="8" t="inlineStr"/>
      <c r="E12" s="8" t="inlineStr"/>
      <c r="F12" s="8" t="inlineStr"/>
    </row>
    <row r="13">
      <c r="A13" s="8" t="inlineStr">
        <is>
          <t>Favorite coffee</t>
        </is>
      </c>
      <c r="B13" s="8" t="inlineStr"/>
      <c r="C13" s="8" t="inlineStr"/>
      <c r="D13" s="8" t="inlineStr"/>
      <c r="E13" s="8" t="inlineStr"/>
      <c r="F13" s="8" t="inlineStr"/>
    </row>
    <row r="14">
      <c r="A14" s="8" t="inlineStr">
        <is>
          <t>Emergency — non-911</t>
        </is>
      </c>
      <c r="B14" s="8" t="inlineStr"/>
      <c r="C14" s="8" t="inlineStr"/>
      <c r="D14" s="8" t="inlineStr"/>
      <c r="E14" s="8" t="inlineStr"/>
      <c r="F14" s="8" t="inlineStr"/>
    </row>
    <row r="15">
      <c r="A15" s="8" t="inlineStr">
        <is>
          <t>Building manager / landlord</t>
        </is>
      </c>
      <c r="B15" s="8" t="inlineStr"/>
      <c r="C15" s="8" t="inlineStr"/>
      <c r="D15" s="8" t="inlineStr"/>
      <c r="E15" s="8" t="inlineStr"/>
      <c r="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</row>
  </sheetData>
  <dataValidations count="2">
    <dataValidation sqref="A4 A5 A6 A7 A8 A9 A10 A11 A12 A13 A14 A15 A16 A17 A18 A19 A20 A21 A22 A23" showDropDown="0" showInputMessage="0" showErrorMessage="0" allowBlank="1" type="list">
      <formula1>"Pharmacy,Urgent care,Grocery,Hardware,Primary care,Dentist,Vet,Auto shop,Transit/parking,Coffee,Emergency contact,Landlord/manager,Other"</formula1>
    </dataValidation>
    <dataValidation sqref="F4 F5 F6 F7 F8 F9 F10 F11 F12 F13 F14 F15 F16 F17 F18 F19 F20 F21 F22 F23" showDropDown="0" showInputMessage="0" showErrorMessage="0" allowBlank="1" type="list">
      <formula1>"Yes,Maybe,No"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2026-07-30T13:42:27Z</dcterms:created>
  <dcterms:modified xsi:type="dcterms:W3CDTF">2026-07-30T14:11:01Z</dcterms:modified>
</cp:coreProperties>
</file>